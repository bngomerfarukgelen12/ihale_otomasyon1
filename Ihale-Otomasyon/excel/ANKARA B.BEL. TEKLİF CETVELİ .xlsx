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gge\OneDrive\Masaüstü\Ihale-Otomasyon\excel\"/>
    </mc:Choice>
  </mc:AlternateContent>
  <xr:revisionPtr revIDLastSave="0" documentId="13_ncr:1_{ED0DA0CD-27AE-4B2A-93F8-89BE97AB5A4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 a="1"/>
  <c r="G7" i="1"/>
  <c r="G8" i="1" a="1"/>
  <c r="G8" i="1" s="1"/>
  <c r="G9" i="1" a="1"/>
  <c r="G9" i="1"/>
  <c r="G10" i="1" a="1"/>
  <c r="G10" i="1" s="1"/>
  <c r="G11" i="1" a="1"/>
  <c r="G11" i="1"/>
  <c r="G12" i="1" a="1"/>
  <c r="G12" i="1" s="1"/>
  <c r="G13" i="1" a="1"/>
  <c r="G13" i="1"/>
  <c r="G14" i="1" a="1"/>
  <c r="G14" i="1" s="1"/>
  <c r="G15" i="1" a="1"/>
  <c r="G15" i="1" s="1"/>
  <c r="G16" i="1" a="1"/>
  <c r="G16" i="1" s="1"/>
  <c r="G17" i="1" a="1"/>
  <c r="G17" i="1"/>
  <c r="G18" i="1" a="1"/>
  <c r="G18" i="1" s="1"/>
  <c r="G19" i="1" a="1"/>
  <c r="G19" i="1"/>
  <c r="G20" i="1" a="1"/>
  <c r="G20" i="1" s="1"/>
  <c r="G21" i="1" a="1"/>
  <c r="G21" i="1" s="1"/>
  <c r="G22" i="1" a="1"/>
  <c r="G22" i="1" s="1"/>
  <c r="G23" i="1" a="1"/>
  <c r="G23" i="1"/>
  <c r="G24" i="1" a="1"/>
  <c r="G24" i="1" s="1"/>
  <c r="G25" i="1" a="1"/>
  <c r="G25" i="1" s="1"/>
  <c r="G26" i="1" a="1"/>
  <c r="G26" i="1" s="1"/>
  <c r="G27" i="1" a="1"/>
  <c r="G27" i="1"/>
  <c r="G28" i="1" a="1"/>
  <c r="G28" i="1" s="1"/>
  <c r="G29" i="1" a="1"/>
  <c r="G29" i="1"/>
  <c r="G30" i="1" a="1"/>
  <c r="G30" i="1" s="1"/>
  <c r="G31" i="1" a="1"/>
  <c r="G31" i="1"/>
  <c r="G32" i="1" a="1"/>
  <c r="G32" i="1" s="1"/>
  <c r="G33" i="1" a="1"/>
  <c r="G33" i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/>
  <c r="G6" i="1" a="1"/>
  <c r="G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<sst xmlns="http://schemas.openxmlformats.org/spreadsheetml/2006/main" count="80" uniqueCount="52">
  <si>
    <t>BİRİM FİYAT TEKLİF CETVELİ</t>
  </si>
  <si>
    <t>İhale Kayıt Numarası (İKN) : 2026/772252</t>
  </si>
  <si>
    <t>A</t>
  </si>
  <si>
    <t>B</t>
  </si>
  <si>
    <t>Sıra No</t>
  </si>
  <si>
    <t>İş Kalemi No</t>
  </si>
  <si>
    <t>Tanım</t>
  </si>
  <si>
    <t>Birimi</t>
  </si>
  <si>
    <t>Miktarı</t>
  </si>
  <si>
    <t>Teklif Edilen Birim Fiyat</t>
  </si>
  <si>
    <t>Tutarı</t>
  </si>
  <si>
    <t>32mm'ye kadar kırmataş temin edilerek, makine ile serme, sulama ve sıkıştırma yapılması(Nakliye Dahil)</t>
  </si>
  <si>
    <t>metreküp</t>
  </si>
  <si>
    <t>Beton santralinde üretilen veya satın alınan ve beton pompasıyla basılan, C 16/20 basınç dayanım sınıfında, gri renkte, normal hazır beton dökülmesi (beton nakli dahil)</t>
  </si>
  <si>
    <t>Beton santralinde üretilen veya satın alınan ve beton pompasıyla basılan, C 30/37 basınç dayanım sınıfında, gri renkte, normal hazır beton dökülmesi (beton nakli dahil)</t>
  </si>
  <si>
    <t>Nervürlü çelik hasırın yerine konulması 3,001-10,000 kg/m² (10,000 kg/m² dahil)(Nakliye dahil.)</t>
  </si>
  <si>
    <t>ton</t>
  </si>
  <si>
    <t>Ø 8- Ø 12 mm nervürlü beton çelik çubuğu, çubukların kesilmesi, bükülmesi ve yerine konulması (Nakliye Dahil)</t>
  </si>
  <si>
    <t>Ø 14- Ø 28 mm nervürlü beton çelik çubuğu, çubukların kesilmesi, bükülmesi ve yerine konulması(Nakliye Dahil)</t>
  </si>
  <si>
    <t>Ahşaptan seri kalıp yapılması</t>
  </si>
  <si>
    <t>metrekare</t>
  </si>
  <si>
    <t>Plywood ile düz yüzeyli betonarme kalıbı yapılması</t>
  </si>
  <si>
    <t>Çelik borudan kalıp iskelesi yapılması (0,00-4,00 m arası)</t>
  </si>
  <si>
    <t>Çelik borudan kalıp iskelesi yapılması (4,01-6,00 m arası)</t>
  </si>
  <si>
    <t>Ø 200 mm anma çaplı, PVC esaslı koruge drenaj borusunun temini ve yerine dösenmesi</t>
  </si>
  <si>
    <t>metre</t>
  </si>
  <si>
    <t>250 gr/m² ağırlıkta geotekstil keçe serilmesi</t>
  </si>
  <si>
    <t>Taş duvar yüzeylerine gömme oluklu derz yapılması.(Nakliye Dahil.)</t>
  </si>
  <si>
    <t>250/350 kg çimento dozlu kaba ve ince harçla sıva yapılması (dış cephe sıvası)(Nakliye dahil)</t>
  </si>
  <si>
    <t>Brüt beton, sıvalı veya eski boyalı yüzeylere, astar uygulanarak akrilik esaslı su bazlı boya yapılması (dış cephe)</t>
  </si>
  <si>
    <t>Lama ve profil demirlerden çeşitli demir işleri yapılması ve yerine konulması(Nakliye Dahil.)</t>
  </si>
  <si>
    <t>kilogram</t>
  </si>
  <si>
    <t>1,00 m yükseklikte, Ø 4,5 mm çapında 50x150 mm göz aralıklı min. 2 bükümlü sıcak daldırma galvaniz üzeri elektrostatik polyester toz boyalı panel teller ile çit yapılması (Direk aralığı 2,5 m olacak şekilde duvar üzeri uygulama)(Nakliye Dahil)</t>
  </si>
  <si>
    <t>Sert PVC plastik pis su borusu (geçme muflu, çap: 100-110 mm, et kalınlığı 3 mm) (Montaj malzemesi bedeli hariç)</t>
  </si>
  <si>
    <t>2,63 m yüksekliğinde betonarme direkli kafes teli ile himaye çiti yapılması (Nakliye Dahil)</t>
  </si>
  <si>
    <t>Her Cins ve Klastaki Zeminde Kazı Yapılması ve Kullanılması (Depo yeri, nakliye vb. tüm masraflar dahil)</t>
  </si>
  <si>
    <t>Hendeklerin betonla kaplanması (Orta refüj ve yarma hendeği) ( C30/37 Hazır beton harcı ile</t>
  </si>
  <si>
    <t>Püskürtme Betonu (Shotcrete) Yapılması (Nakliye Dahil)</t>
  </si>
  <si>
    <t>Ocak Taşı ile Moloz Taş İnşaat (Hazır Beton Harcı ile)(Nakliye Nakli)</t>
  </si>
  <si>
    <t>Ocak Taşi ile İstifsiz Taş Dolgu (Nakliye Dahil.)</t>
  </si>
  <si>
    <t>20 cm Kalınlıkta Ocak Taşı ile Harçlı Pere (Nakliye Dahil)</t>
  </si>
  <si>
    <t>Patlayıcı Madde Kullanmadan Çimento Harçlı Kargir ve Horasan İnşaatın Yıkılması (Nakliye Dahil)</t>
  </si>
  <si>
    <t>Patlayıcı Madde Kullanmadan Demirli ve Demirsiz Beton İnşaatın Yıkılması (Nakliye Dahil)</t>
  </si>
  <si>
    <t>Demir İmalatın İki Kat Antipas, İki Kat Sentetik Boya ile Boyanması</t>
  </si>
  <si>
    <t>Katran Badana</t>
  </si>
  <si>
    <t>Çelik ağlarla şev koruması yapılması (Nakliye Dahil)</t>
  </si>
  <si>
    <t>Çelik ağlarla yapılan şev koruması için tepe ankrajı tesis edilmesi (Nakliye Dahil)</t>
  </si>
  <si>
    <t>adet</t>
  </si>
  <si>
    <t>Çelik ağlarla yapılan şev korumasu için topuk ve yüzey ankrajı tesis edilmesi.(Nakliye Dahil)</t>
  </si>
  <si>
    <t>Prekast Küçük Tip (Tip-1) Düşüm Oluğu Yapılması (Nakliye Dahil)</t>
  </si>
  <si>
    <t>Epoksi İle Ankraj Yapılması</t>
  </si>
  <si>
    <t>TOPLAM TUTAR (KDV Hariç)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</si>
</sst>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2"/>
      <scheme val="minor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1"/>
      <color theme="1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sz val="10"/>
      <color theme="1"/>
      <name val="Times New Roman"/>
      <family val="1"/>
      <charset val="162"/>
    </font>
    <font>
      <b/>
      <sz val="14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vertical="center" wrapText="1"/>
    </xf>
    <xf numFmtId="3" fontId="3" fillId="0" borderId="5" xfId="0" applyNumberFormat="1" applyFont="1" applyBorder="1" applyAlignment="1">
      <alignment vertical="center" wrapText="1"/>
    </xf>
    <xf numFmtId="0" fontId="5" fillId="0" borderId="0" xfId="0" applyFont="1" applyAlignment="1">
      <alignment horizontal="justify" vertical="center"/>
    </xf>
    <xf numFmtId="0" fontId="4" fillId="0" borderId="5" xfId="0" applyFont="1" applyBorder="1" applyAlignment="1">
      <alignment horizontal="center" vertical="top" wrapText="1"/>
    </xf>
    <xf numFmtId="0" fontId="3" fillId="0" borderId="5" xfId="0" applyFont="1" applyBorder="1" applyAlignment="1">
      <alignment vertical="top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top" wrapText="1"/>
    </xf>
    <xf numFmtId="4" fontId="3" fillId="2" borderId="5" xfId="0" applyNumberFormat="1" applyFont="1" applyFill="1" applyBorder="1" applyAlignment="1">
      <alignment vertical="center" wrapText="1"/>
    </xf>
    <xf numFmtId="0" fontId="0" fillId="2" borderId="0" xfId="0" applyFill="1"/>
    <xf numFmtId="3" fontId="3" fillId="2" borderId="5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top" wrapText="1"/>
    </xf>
    <xf numFmtId="3" fontId="3" fillId="2" borderId="3" xfId="0" applyNumberFormat="1" applyFont="1" applyFill="1" applyBorder="1" applyAlignment="1">
      <alignment vertical="center" wrapText="1"/>
    </xf>
    <xf numFmtId="3" fontId="3" fillId="2" borderId="6" xfId="0" applyNumberFormat="1" applyFont="1" applyFill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1" fillId="2" borderId="5" xfId="0" applyFont="1" applyFill="1" applyBorder="1" applyAlignment="1">
      <alignment vertical="center" wrapText="1"/>
    </xf>
    <xf numFmtId="3" fontId="6" fillId="2" borderId="0" xfId="0" applyNumberFormat="1" applyFont="1" applyFill="1"/>
    <xf numFmtId="4" fontId="1" fillId="2" borderId="5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topLeftCell="A28" zoomScaleNormal="100" workbookViewId="0">
      <selection activeCell="F35" sqref="F35"/>
    </sheetView>
  </sheetViews>
  <sheetFormatPr defaultRowHeight="14.5" x14ac:dyDescent="0.35"/>
  <cols>
    <col min="2" max="2" width="11.36328125" customWidth="1"/>
    <col min="3" max="3" width="48.36328125" customWidth="1"/>
    <col min="5" max="5" width="9.36328125" customWidth="1"/>
    <col min="6" max="6" width="12.453125" customWidth="1"/>
    <col min="7" max="7" width="14.90625" customWidth="1"/>
    <col min="12" max="12" width="9.54296875" customWidth="1"/>
  </cols>
  <sheetData>
    <row r="1" spans="1:8" ht="15" customHeight="1" x14ac:dyDescent="0.35">
      <c r="A1" s="1" t="s">
        <v>0</v>
      </c>
    </row>
    <row r="2" spans="1:8" ht="15.5" customHeight="1" x14ac:dyDescent="0.35">
      <c r="A2" s="2" t="s">
        <v>1</v>
      </c>
    </row>
    <row r="3" spans="1:8" ht="16" customHeight="1" thickBot="1" x14ac:dyDescent="0.4">
      <c r="A3" s="2"/>
    </row>
    <row r="4" spans="1:8" ht="15" customHeight="1" thickBot="1" x14ac:dyDescent="0.4">
      <c r="A4" s="27" t="s">
        <v>2</v>
      </c>
      <c r="B4" s="29"/>
      <c r="C4" s="29"/>
      <c r="D4" s="29"/>
      <c r="E4" s="28"/>
      <c r="F4" s="27" t="s">
        <v>3</v>
      </c>
      <c r="G4" s="28"/>
    </row>
    <row r="5" spans="1:8" ht="28.5" customHeight="1" thickBot="1" x14ac:dyDescent="0.4">
      <c r="A5" s="3" t="s">
        <v>4</v>
      </c>
      <c r="B5" s="4" t="s">
        <v>5</v>
      </c>
      <c r="C5" s="10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spans="1:8" s="16" customFormat="1" ht="28.5" customHeight="1" thickBot="1" x14ac:dyDescent="0.4">
      <c r="A6" s="12">
        <v>1</v>
      </c>
      <c r="B6" s="13">
        <v>1</v>
      </c>
      <c r="C6" s="14" t="s">
        <v>11</v>
      </c>
      <c r="D6" s="13" t="s">
        <v>12</v>
      </c>
      <c r="E6" s="15">
        <v>7056.25</v>
      </c>
      <c r="F6" s="26">
        <v>749.99</v>
      </c>
      <c r="G6" s="22" cm="1">
        <f t="array" ref="G6">MMULT(E6,F6)</f>
        <v>5292116.9375</v>
      </c>
      <c r="H6" s="23"/>
    </row>
    <row r="7" spans="1:8" ht="42.5" customHeight="1" thickBot="1" x14ac:dyDescent="0.4">
      <c r="A7" s="5">
        <v>2</v>
      </c>
      <c r="B7" s="6">
        <v>2</v>
      </c>
      <c r="C7" s="11" t="s">
        <v>13</v>
      </c>
      <c r="D7" s="6" t="s">
        <v>12</v>
      </c>
      <c r="E7" s="8">
        <v>3762</v>
      </c>
      <c r="F7" s="26">
        <v>3533.51</v>
      </c>
      <c r="G7" s="22" cm="1">
        <f t="array" ref="G7">MMULT(E7,F7)</f>
        <v>13293064.620000001</v>
      </c>
      <c r="H7" s="23"/>
    </row>
    <row r="8" spans="1:8" ht="42.5" customHeight="1" thickBot="1" x14ac:dyDescent="0.4">
      <c r="A8" s="5">
        <v>3</v>
      </c>
      <c r="B8" s="6">
        <v>3</v>
      </c>
      <c r="C8" s="11" t="s">
        <v>14</v>
      </c>
      <c r="D8" s="6" t="s">
        <v>12</v>
      </c>
      <c r="E8" s="8">
        <v>19220</v>
      </c>
      <c r="F8" s="26">
        <v>3934.85</v>
      </c>
      <c r="G8" s="22" cm="1">
        <f t="array" ref="G8">MMULT(E8,F8)</f>
        <v>75627817</v>
      </c>
      <c r="H8" s="23"/>
    </row>
    <row r="9" spans="1:8" s="16" customFormat="1" ht="28.5" customHeight="1" thickBot="1" x14ac:dyDescent="0.4">
      <c r="A9" s="12">
        <v>4</v>
      </c>
      <c r="B9" s="13">
        <v>4</v>
      </c>
      <c r="C9" s="14" t="s">
        <v>15</v>
      </c>
      <c r="D9" s="13" t="s">
        <v>16</v>
      </c>
      <c r="E9" s="13">
        <v>13.048</v>
      </c>
      <c r="F9" s="26">
        <v>47899.25</v>
      </c>
      <c r="G9" s="22" cm="1">
        <f t="array" ref="G9">MMULT(E9,F9)</f>
        <v>624989.41399999999</v>
      </c>
      <c r="H9" s="23"/>
    </row>
    <row r="10" spans="1:8" s="16" customFormat="1" ht="28.5" customHeight="1" thickBot="1" x14ac:dyDescent="0.4">
      <c r="A10" s="12">
        <v>5</v>
      </c>
      <c r="B10" s="13">
        <v>5</v>
      </c>
      <c r="C10" s="14" t="s">
        <v>17</v>
      </c>
      <c r="D10" s="13" t="s">
        <v>16</v>
      </c>
      <c r="E10" s="13">
        <v>462.25099999999998</v>
      </c>
      <c r="F10" s="26">
        <v>50059.14</v>
      </c>
      <c r="G10" s="22" cm="1">
        <f t="array" ref="G10">MMULT(E10,F10)</f>
        <v>23139887.52414</v>
      </c>
      <c r="H10" s="23"/>
    </row>
    <row r="11" spans="1:8" s="16" customFormat="1" ht="28.5" customHeight="1" thickBot="1" x14ac:dyDescent="0.4">
      <c r="A11" s="12">
        <v>6</v>
      </c>
      <c r="B11" s="13">
        <v>6</v>
      </c>
      <c r="C11" s="14" t="s">
        <v>18</v>
      </c>
      <c r="D11" s="13" t="s">
        <v>16</v>
      </c>
      <c r="E11" s="13">
        <v>702.03599999999994</v>
      </c>
      <c r="F11" s="26">
        <v>48074.93</v>
      </c>
      <c r="G11" s="22" cm="1">
        <f t="array" ref="G11">MMULT(E11,F11)</f>
        <v>33750331.55748</v>
      </c>
      <c r="H11" s="23"/>
    </row>
    <row r="12" spans="1:8" ht="16" customHeight="1" thickBot="1" x14ac:dyDescent="0.4">
      <c r="A12" s="5">
        <v>7</v>
      </c>
      <c r="B12" s="6">
        <v>7</v>
      </c>
      <c r="C12" s="11" t="s">
        <v>19</v>
      </c>
      <c r="D12" s="6" t="s">
        <v>20</v>
      </c>
      <c r="E12" s="7">
        <v>3174.44</v>
      </c>
      <c r="F12" s="26">
        <v>154.54</v>
      </c>
      <c r="G12" s="22" cm="1">
        <f t="array" ref="G12">MMULT(E12,F12)</f>
        <v>490577.95759999997</v>
      </c>
      <c r="H12" s="23"/>
    </row>
    <row r="13" spans="1:8" ht="16" customHeight="1" thickBot="1" x14ac:dyDescent="0.4">
      <c r="A13" s="5">
        <v>8</v>
      </c>
      <c r="B13" s="6">
        <v>8</v>
      </c>
      <c r="C13" s="11" t="s">
        <v>21</v>
      </c>
      <c r="D13" s="6" t="s">
        <v>20</v>
      </c>
      <c r="E13" s="8">
        <v>64740</v>
      </c>
      <c r="F13" s="26">
        <v>1123.51</v>
      </c>
      <c r="G13" s="22" cm="1">
        <f t="array" ref="G13">MMULT(E13,F13)</f>
        <v>72736037.400000006</v>
      </c>
      <c r="H13" s="23"/>
    </row>
    <row r="14" spans="1:8" ht="16" customHeight="1" thickBot="1" x14ac:dyDescent="0.4">
      <c r="A14" s="5">
        <v>9</v>
      </c>
      <c r="B14" s="6">
        <v>9</v>
      </c>
      <c r="C14" s="11" t="s">
        <v>22</v>
      </c>
      <c r="D14" s="6" t="s">
        <v>12</v>
      </c>
      <c r="E14" s="8">
        <v>11070</v>
      </c>
      <c r="F14" s="26">
        <v>139.81</v>
      </c>
      <c r="G14" s="22" cm="1">
        <f t="array" ref="G14">MMULT(E14,F14)</f>
        <v>1547696.7</v>
      </c>
      <c r="H14" s="23"/>
    </row>
    <row r="15" spans="1:8" ht="16" customHeight="1" thickBot="1" x14ac:dyDescent="0.4">
      <c r="A15" s="5">
        <v>10</v>
      </c>
      <c r="B15" s="6">
        <v>10</v>
      </c>
      <c r="C15" s="11" t="s">
        <v>23</v>
      </c>
      <c r="D15" s="6" t="s">
        <v>12</v>
      </c>
      <c r="E15" s="7">
        <v>23251.8</v>
      </c>
      <c r="F15" s="26">
        <v>161.59</v>
      </c>
      <c r="G15" s="22" cm="1">
        <f t="array" ref="G15">MMULT(E15,F15)</f>
        <v>3757258.3619999997</v>
      </c>
      <c r="H15" s="23"/>
    </row>
    <row r="16" spans="1:8" ht="28.5" customHeight="1" thickBot="1" x14ac:dyDescent="0.4">
      <c r="A16" s="5">
        <v>11</v>
      </c>
      <c r="B16" s="6">
        <v>11</v>
      </c>
      <c r="C16" s="11" t="s">
        <v>24</v>
      </c>
      <c r="D16" s="6" t="s">
        <v>25</v>
      </c>
      <c r="E16" s="8">
        <v>3865</v>
      </c>
      <c r="F16" s="26">
        <v>185.68</v>
      </c>
      <c r="G16" s="22" cm="1">
        <f t="array" ref="G16">MMULT(E16,F16)</f>
        <v>717653.20000000007</v>
      </c>
      <c r="H16" s="23"/>
    </row>
    <row r="17" spans="1:8" ht="16" customHeight="1" thickBot="1" x14ac:dyDescent="0.4">
      <c r="A17" s="5">
        <v>12</v>
      </c>
      <c r="B17" s="6">
        <v>12</v>
      </c>
      <c r="C17" s="11" t="s">
        <v>26</v>
      </c>
      <c r="D17" s="6" t="s">
        <v>20</v>
      </c>
      <c r="E17" s="7">
        <v>2525.8159999999998</v>
      </c>
      <c r="F17" s="26">
        <v>62.93</v>
      </c>
      <c r="G17" s="22" cm="1">
        <f t="array" ref="G17">MMULT(E17,F17)</f>
        <v>158949.60087999998</v>
      </c>
      <c r="H17" s="23"/>
    </row>
    <row r="18" spans="1:8" s="16" customFormat="1" ht="28.5" customHeight="1" thickBot="1" x14ac:dyDescent="0.4">
      <c r="A18" s="12">
        <v>13</v>
      </c>
      <c r="B18" s="13">
        <v>13</v>
      </c>
      <c r="C18" s="14" t="s">
        <v>27</v>
      </c>
      <c r="D18" s="13" t="s">
        <v>20</v>
      </c>
      <c r="E18" s="17">
        <v>3880</v>
      </c>
      <c r="F18" s="26">
        <v>289.66000000000003</v>
      </c>
      <c r="G18" s="22" cm="1">
        <f t="array" ref="G18">MMULT(E18,F18)</f>
        <v>1123880.8</v>
      </c>
      <c r="H18" s="23"/>
    </row>
    <row r="19" spans="1:8" s="16" customFormat="1" ht="28.5" customHeight="1" thickBot="1" x14ac:dyDescent="0.4">
      <c r="A19" s="12">
        <v>14</v>
      </c>
      <c r="B19" s="13">
        <v>14</v>
      </c>
      <c r="C19" s="14" t="s">
        <v>28</v>
      </c>
      <c r="D19" s="13" t="s">
        <v>20</v>
      </c>
      <c r="E19" s="17">
        <v>2000</v>
      </c>
      <c r="F19" s="26">
        <v>811.56</v>
      </c>
      <c r="G19" s="22" cm="1">
        <f t="array" ref="G19">MMULT(E19,F19)</f>
        <v>1623120</v>
      </c>
      <c r="H19" s="23"/>
    </row>
    <row r="20" spans="1:8" ht="42.5" customHeight="1" thickBot="1" x14ac:dyDescent="0.4">
      <c r="A20" s="5">
        <v>15</v>
      </c>
      <c r="B20" s="6">
        <v>15</v>
      </c>
      <c r="C20" s="11" t="s">
        <v>29</v>
      </c>
      <c r="D20" s="6" t="s">
        <v>20</v>
      </c>
      <c r="E20" s="8">
        <v>1500</v>
      </c>
      <c r="F20" s="26">
        <v>422.84</v>
      </c>
      <c r="G20" s="22" cm="1">
        <f t="array" ref="G20">MMULT(E20,F20)</f>
        <v>634260</v>
      </c>
      <c r="H20" s="23"/>
    </row>
    <row r="21" spans="1:8" s="16" customFormat="1" ht="28.5" customHeight="1" thickBot="1" x14ac:dyDescent="0.4">
      <c r="A21" s="12">
        <v>16</v>
      </c>
      <c r="B21" s="13">
        <v>16</v>
      </c>
      <c r="C21" s="14" t="s">
        <v>30</v>
      </c>
      <c r="D21" s="13" t="s">
        <v>31</v>
      </c>
      <c r="E21" s="17">
        <v>20000</v>
      </c>
      <c r="F21" s="26">
        <v>184</v>
      </c>
      <c r="G21" s="22" cm="1">
        <f t="array" ref="G21">MMULT(E21,F21)</f>
        <v>3680000</v>
      </c>
      <c r="H21" s="23"/>
    </row>
    <row r="22" spans="1:8" s="16" customFormat="1" ht="70.5" customHeight="1" thickBot="1" x14ac:dyDescent="0.4">
      <c r="A22" s="18">
        <v>17</v>
      </c>
      <c r="B22" s="19">
        <v>17</v>
      </c>
      <c r="C22" s="20" t="s">
        <v>32</v>
      </c>
      <c r="D22" s="19" t="s">
        <v>25</v>
      </c>
      <c r="E22" s="21">
        <v>10000</v>
      </c>
      <c r="F22" s="26">
        <v>751.48</v>
      </c>
      <c r="G22" s="22" cm="1">
        <f t="array" ref="G22">MMULT(E22,F22)</f>
        <v>7514800</v>
      </c>
      <c r="H22" s="23"/>
    </row>
    <row r="23" spans="1:8" ht="33" customHeight="1" thickBot="1" x14ac:dyDescent="0.4">
      <c r="A23" s="5">
        <v>18</v>
      </c>
      <c r="B23" s="6">
        <v>18</v>
      </c>
      <c r="C23" s="11" t="s">
        <v>33</v>
      </c>
      <c r="D23" s="6" t="s">
        <v>25</v>
      </c>
      <c r="E23" s="7">
        <v>2206.1999999999998</v>
      </c>
      <c r="F23" s="24">
        <v>155</v>
      </c>
      <c r="G23" s="22" cm="1">
        <f t="array" ref="G23">MMULT(E23,F23)</f>
        <v>341961</v>
      </c>
      <c r="H23" s="23"/>
    </row>
    <row r="24" spans="1:8" s="16" customFormat="1" ht="28.5" customHeight="1" thickBot="1" x14ac:dyDescent="0.4">
      <c r="A24" s="12">
        <v>19</v>
      </c>
      <c r="B24" s="13">
        <v>19</v>
      </c>
      <c r="C24" s="14" t="s">
        <v>34</v>
      </c>
      <c r="D24" s="13" t="s">
        <v>25</v>
      </c>
      <c r="E24" s="22">
        <v>5000</v>
      </c>
      <c r="F24" s="26">
        <v>608</v>
      </c>
      <c r="G24" s="22" cm="1">
        <f t="array" ref="G24">MMULT(E24,F24)</f>
        <v>3040000</v>
      </c>
      <c r="H24" s="23"/>
    </row>
    <row r="25" spans="1:8" ht="28.5" customHeight="1" thickBot="1" x14ac:dyDescent="0.4">
      <c r="A25" s="5">
        <v>20</v>
      </c>
      <c r="B25" s="6">
        <v>20</v>
      </c>
      <c r="C25" s="11" t="s">
        <v>35</v>
      </c>
      <c r="D25" s="6" t="s">
        <v>12</v>
      </c>
      <c r="E25" s="7">
        <v>50006.3</v>
      </c>
      <c r="F25" s="26">
        <v>299</v>
      </c>
      <c r="G25" s="22" cm="1">
        <f t="array" ref="G25">MMULT(E25,F25)</f>
        <v>14951883.700000001</v>
      </c>
      <c r="H25" s="23"/>
    </row>
    <row r="26" spans="1:8" ht="28.5" customHeight="1" thickBot="1" x14ac:dyDescent="0.4">
      <c r="A26" s="5">
        <v>21</v>
      </c>
      <c r="B26" s="6">
        <v>21</v>
      </c>
      <c r="C26" s="11" t="s">
        <v>36</v>
      </c>
      <c r="D26" s="6" t="s">
        <v>12</v>
      </c>
      <c r="E26" s="6">
        <v>400</v>
      </c>
      <c r="F26" s="24">
        <v>5500</v>
      </c>
      <c r="G26" s="22" cm="1">
        <f t="array" ref="G26">MMULT(E26,F26)</f>
        <v>2200000</v>
      </c>
      <c r="H26" s="23"/>
    </row>
    <row r="27" spans="1:8" s="16" customFormat="1" ht="16" customHeight="1" thickBot="1" x14ac:dyDescent="0.4">
      <c r="A27" s="12">
        <v>22</v>
      </c>
      <c r="B27" s="13">
        <v>22</v>
      </c>
      <c r="C27" s="14" t="s">
        <v>37</v>
      </c>
      <c r="D27" s="13" t="s">
        <v>16</v>
      </c>
      <c r="E27" s="17">
        <v>2475</v>
      </c>
      <c r="F27" s="26">
        <v>1811.09</v>
      </c>
      <c r="G27" s="22" cm="1">
        <f t="array" ref="G27">MMULT(E27,F27)</f>
        <v>4482447.75</v>
      </c>
      <c r="H27" s="23"/>
    </row>
    <row r="28" spans="1:8" s="16" customFormat="1" ht="28.5" customHeight="1" thickBot="1" x14ac:dyDescent="0.4">
      <c r="A28" s="12">
        <v>23</v>
      </c>
      <c r="B28" s="13">
        <v>23</v>
      </c>
      <c r="C28" s="14" t="s">
        <v>38</v>
      </c>
      <c r="D28" s="13" t="s">
        <v>12</v>
      </c>
      <c r="E28" s="17">
        <v>6010</v>
      </c>
      <c r="F28" s="26">
        <v>1783.08</v>
      </c>
      <c r="G28" s="22" cm="1">
        <f t="array" ref="G28">MMULT(E28,F28)</f>
        <v>10716310.799999999</v>
      </c>
      <c r="H28" s="23"/>
    </row>
    <row r="29" spans="1:8" s="16" customFormat="1" ht="16" customHeight="1" thickBot="1" x14ac:dyDescent="0.4">
      <c r="A29" s="12">
        <v>24</v>
      </c>
      <c r="B29" s="13">
        <v>24</v>
      </c>
      <c r="C29" s="14" t="s">
        <v>39</v>
      </c>
      <c r="D29" s="13" t="s">
        <v>12</v>
      </c>
      <c r="E29" s="17">
        <v>1720</v>
      </c>
      <c r="F29" s="26">
        <v>2730.15</v>
      </c>
      <c r="G29" s="22" cm="1">
        <f t="array" ref="G29">MMULT(E29,F29)</f>
        <v>4695858</v>
      </c>
      <c r="H29" s="23"/>
    </row>
    <row r="30" spans="1:8" s="16" customFormat="1" ht="28.5" customHeight="1" thickBot="1" x14ac:dyDescent="0.4">
      <c r="A30" s="12">
        <v>25</v>
      </c>
      <c r="B30" s="13">
        <v>25</v>
      </c>
      <c r="C30" s="14" t="s">
        <v>40</v>
      </c>
      <c r="D30" s="13" t="s">
        <v>20</v>
      </c>
      <c r="E30" s="17">
        <v>1000</v>
      </c>
      <c r="F30" s="26">
        <v>2814.36</v>
      </c>
      <c r="G30" s="22" cm="1">
        <f t="array" ref="G30">MMULT(E30,F30)</f>
        <v>2814360</v>
      </c>
      <c r="H30" s="23"/>
    </row>
    <row r="31" spans="1:8" s="16" customFormat="1" ht="28.5" customHeight="1" thickBot="1" x14ac:dyDescent="0.4">
      <c r="A31" s="12">
        <v>26</v>
      </c>
      <c r="B31" s="13">
        <v>26</v>
      </c>
      <c r="C31" s="14" t="s">
        <v>41</v>
      </c>
      <c r="D31" s="13" t="s">
        <v>12</v>
      </c>
      <c r="E31" s="17">
        <v>3850</v>
      </c>
      <c r="F31" s="26">
        <v>447.75</v>
      </c>
      <c r="G31" s="22" cm="1">
        <f t="array" ref="G31">MMULT(E31,F31)</f>
        <v>1723837.5</v>
      </c>
      <c r="H31" s="23"/>
    </row>
    <row r="32" spans="1:8" s="16" customFormat="1" ht="28.5" customHeight="1" thickBot="1" x14ac:dyDescent="0.4">
      <c r="A32" s="12">
        <v>27</v>
      </c>
      <c r="B32" s="13">
        <v>27</v>
      </c>
      <c r="C32" s="14" t="s">
        <v>42</v>
      </c>
      <c r="D32" s="13" t="s">
        <v>12</v>
      </c>
      <c r="E32" s="13">
        <v>700</v>
      </c>
      <c r="F32" s="26">
        <v>843.34</v>
      </c>
      <c r="G32" s="22" cm="1">
        <f t="array" ref="G32">MMULT(E32,F32)</f>
        <v>590338</v>
      </c>
      <c r="H32" s="23"/>
    </row>
    <row r="33" spans="1:8" ht="28.5" customHeight="1" thickBot="1" x14ac:dyDescent="0.4">
      <c r="A33" s="5">
        <v>28</v>
      </c>
      <c r="B33" s="6">
        <v>28</v>
      </c>
      <c r="C33" s="11" t="s">
        <v>43</v>
      </c>
      <c r="D33" s="6" t="s">
        <v>20</v>
      </c>
      <c r="E33" s="6">
        <v>750</v>
      </c>
      <c r="F33" s="26">
        <v>356.64</v>
      </c>
      <c r="G33" s="22" cm="1">
        <f t="array" ref="G33">MMULT(E33,F33)</f>
        <v>267480</v>
      </c>
      <c r="H33" s="23"/>
    </row>
    <row r="34" spans="1:8" ht="16" customHeight="1" thickBot="1" x14ac:dyDescent="0.4">
      <c r="A34" s="5">
        <v>29</v>
      </c>
      <c r="B34" s="6">
        <v>29</v>
      </c>
      <c r="C34" s="11" t="s">
        <v>44</v>
      </c>
      <c r="D34" s="6" t="s">
        <v>20</v>
      </c>
      <c r="E34" s="7">
        <v>4616.4799999999996</v>
      </c>
      <c r="F34" s="26">
        <v>658.83</v>
      </c>
      <c r="G34" s="22" cm="1">
        <f t="array" ref="G34">MMULT(E34,F34)</f>
        <v>3041475.5183999999</v>
      </c>
      <c r="H34" s="23"/>
    </row>
    <row r="35" spans="1:8" s="16" customFormat="1" ht="16" customHeight="1" thickBot="1" x14ac:dyDescent="0.4">
      <c r="A35" s="12">
        <v>30</v>
      </c>
      <c r="B35" s="13">
        <v>30</v>
      </c>
      <c r="C35" s="14" t="s">
        <v>45</v>
      </c>
      <c r="D35" s="13" t="s">
        <v>20</v>
      </c>
      <c r="E35" s="17">
        <v>15000</v>
      </c>
      <c r="F35" s="26">
        <v>602.41</v>
      </c>
      <c r="G35" s="22" cm="1">
        <f t="array" ref="G35">MMULT(E35,F35)</f>
        <v>9036150</v>
      </c>
      <c r="H35" s="23"/>
    </row>
    <row r="36" spans="1:8" s="16" customFormat="1" ht="28.5" customHeight="1" thickBot="1" x14ac:dyDescent="0.4">
      <c r="A36" s="12">
        <v>31</v>
      </c>
      <c r="B36" s="13">
        <v>31</v>
      </c>
      <c r="C36" s="14" t="s">
        <v>46</v>
      </c>
      <c r="D36" s="13" t="s">
        <v>47</v>
      </c>
      <c r="E36" s="13">
        <v>300</v>
      </c>
      <c r="F36" s="26">
        <v>664.53</v>
      </c>
      <c r="G36" s="22" cm="1">
        <f t="array" ref="G36">MMULT(E36,F36)</f>
        <v>199359</v>
      </c>
      <c r="H36" s="23"/>
    </row>
    <row r="37" spans="1:8" s="16" customFormat="1" ht="28.5" customHeight="1" thickBot="1" x14ac:dyDescent="0.4">
      <c r="A37" s="12">
        <v>32</v>
      </c>
      <c r="B37" s="13">
        <v>32</v>
      </c>
      <c r="C37" s="14" t="s">
        <v>48</v>
      </c>
      <c r="D37" s="13" t="s">
        <v>47</v>
      </c>
      <c r="E37" s="13">
        <v>650</v>
      </c>
      <c r="F37" s="26">
        <v>607.23</v>
      </c>
      <c r="G37" s="22" cm="1">
        <f t="array" ref="G37">MMULT(E37,F37)</f>
        <v>394699.5</v>
      </c>
      <c r="H37" s="23"/>
    </row>
    <row r="38" spans="1:8" s="16" customFormat="1" ht="28.5" customHeight="1" thickBot="1" x14ac:dyDescent="0.4">
      <c r="A38" s="12">
        <v>33</v>
      </c>
      <c r="B38" s="13">
        <v>33</v>
      </c>
      <c r="C38" s="14" t="s">
        <v>49</v>
      </c>
      <c r="D38" s="13" t="s">
        <v>25</v>
      </c>
      <c r="E38" s="17">
        <v>1000</v>
      </c>
      <c r="F38" s="26">
        <v>1811.09</v>
      </c>
      <c r="G38" s="22" cm="1">
        <f t="array" ref="G38">MMULT(E38,F38)</f>
        <v>1811090</v>
      </c>
      <c r="H38" s="23"/>
    </row>
    <row r="39" spans="1:8" ht="16" customHeight="1" thickBot="1" x14ac:dyDescent="0.4">
      <c r="A39" s="5">
        <v>34</v>
      </c>
      <c r="B39" s="6">
        <v>34</v>
      </c>
      <c r="C39" s="11" t="s">
        <v>50</v>
      </c>
      <c r="D39" s="6" t="s">
        <v>31</v>
      </c>
      <c r="E39" s="8">
        <v>1000</v>
      </c>
      <c r="F39" s="26">
        <v>623.39</v>
      </c>
      <c r="G39" s="22" cm="1">
        <f t="array" ref="G39">MMULT(E39,F39)</f>
        <v>623390</v>
      </c>
      <c r="H39" s="23"/>
    </row>
    <row r="40" spans="1:8" ht="21.5" customHeight="1" thickBot="1" x14ac:dyDescent="0.4">
      <c r="A40" s="30" t="s">
        <v>51</v>
      </c>
      <c r="B40" s="29"/>
      <c r="C40" s="29"/>
      <c r="D40" s="29"/>
      <c r="E40" s="29"/>
      <c r="F40" s="28"/>
      <c r="G40" s="8"/>
    </row>
    <row r="41" spans="1:8" x14ac:dyDescent="0.35">
      <c r="A41" s="9"/>
    </row>
    <row r="42" spans="1:8" ht="20" customHeight="1" x14ac:dyDescent="0.35">
      <c r="E42" s="16"/>
      <c r="F42" s="16"/>
      <c r="G42" s="25"/>
    </row>
  </sheetData>
  <mergeCells count="3">
    <mergeCell ref="F4:G4"/>
    <mergeCell ref="A4:E4"/>
    <mergeCell ref="A40:F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ÖMER FARUK GELEN</dc:creator>
  <cp:lastModifiedBy>ÖMER FARUK GELEN</cp:lastModifiedBy>
  <dcterms:created xsi:type="dcterms:W3CDTF">2026-04-30T11:56:14Z</dcterms:created>
  <dcterms:modified xsi:type="dcterms:W3CDTF">2026-06-07T11:37:24Z</dcterms:modified>
</cp:coreProperties>
</file>